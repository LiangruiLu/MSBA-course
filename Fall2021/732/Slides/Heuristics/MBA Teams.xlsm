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UDT732 Fall 21\"/>
    </mc:Choice>
  </mc:AlternateContent>
  <xr:revisionPtr revIDLastSave="0" documentId="8_{781A4F03-94C2-44DF-BF2B-59A968B75494}" xr6:coauthVersionLast="47" xr6:coauthVersionMax="47" xr10:uidLastSave="{00000000-0000-0000-0000-000000000000}"/>
  <bookViews>
    <workbookView xWindow="-120" yWindow="-120" windowWidth="19440" windowHeight="10440" xr2:uid="{00000000-000D-0000-FFFF-FFFF00000000}"/>
  </bookViews>
  <sheets>
    <sheet name="Teams" sheetId="1" r:id="rId1"/>
    <sheet name="Sheet1" sheetId="2" state="hidden" r:id="rId2"/>
  </sheets>
  <definedNames>
    <definedName name="param_extinc" localSheetId="0" hidden="1">0.5</definedName>
    <definedName name="param_iisbnd" localSheetId="0" hidden="1">0</definedName>
    <definedName name="param_nsfeas" localSheetId="0" hidden="1">0</definedName>
    <definedName name="solver_adj" localSheetId="0" hidden="1">Teams!$D$5:$D$38</definedName>
    <definedName name="solver_adj_ob" localSheetId="0" hidden="1">1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c4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p4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ir4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on4" localSheetId="0" hidden="1">" "</definedName>
    <definedName name="solver_cvg" localSheetId="0" hidden="1">0.0001</definedName>
    <definedName name="solver_dia" localSheetId="0" hidden="1">5</definedName>
    <definedName name="solver_eng" localSheetId="0" hidden="1">3</definedName>
    <definedName name="solver_fns" localSheetId="0" hidden="1">0</definedName>
    <definedName name="solver_iao" localSheetId="0" hidden="1">0</definedName>
    <definedName name="solver_int" localSheetId="0" hidden="1">0</definedName>
    <definedName name="solver_irs" localSheetId="0" hidden="1">0</definedName>
    <definedName name="solver_ism" localSheetId="0" hidden="1">0</definedName>
    <definedName name="solver_itr" localSheetId="0" hidden="1">2147483647</definedName>
    <definedName name="solver_legacy" localSheetId="0" hidden="1">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_ob4" localSheetId="0" hidden="1">0</definedName>
    <definedName name="solver_lhs1" localSheetId="0" hidden="1">Teams!$D$5:$D$38</definedName>
    <definedName name="solver_lhs2" localSheetId="0" hidden="1">Teams!$D$5:$D$38</definedName>
    <definedName name="solver_lhs3" localSheetId="0" hidden="1">Teams!$H$5:$H$11</definedName>
    <definedName name="solver_lhs4" localSheetId="0" hidden="1">Teams!$D$5:$D$38</definedName>
    <definedName name="solver_lin" localSheetId="0" hidden="1">2</definedName>
    <definedName name="solver_loc" localSheetId="0" hidden="1">4</definedName>
    <definedName name="solver_mda" localSheetId="0" hidden="1">4</definedName>
    <definedName name="solver_mdlsearch" localSheetId="0" hidden="1">1</definedName>
    <definedName name="solver_mip" localSheetId="0" hidden="1">2147483647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neg" localSheetId="0" hidden="1">0</definedName>
    <definedName name="solver_nod" localSheetId="0" hidden="1">2147483647</definedName>
    <definedName name="solver_ntr" localSheetId="0" hidden="1">0</definedName>
    <definedName name="solver_ntri" hidden="1">1000</definedName>
    <definedName name="solver_num" localSheetId="0" hidden="1">4</definedName>
    <definedName name="solver_obc" localSheetId="0" hidden="1">0</definedName>
    <definedName name="solver_obp" localSheetId="0" hidden="1">0</definedName>
    <definedName name="solver_opt" localSheetId="0" hidden="1">Teams!$G$12</definedName>
    <definedName name="solver_opt_ob" localSheetId="0" hidden="1">1</definedName>
    <definedName name="solver_pre" localSheetId="0" hidden="1">0.000001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1</definedName>
    <definedName name="solver_rep" localSheetId="0" hidden="1">0</definedName>
    <definedName name="solver_rhs2" localSheetId="0" hidden="1">1</definedName>
    <definedName name="solver_rhs3" localSheetId="0" hidden="1">5</definedName>
    <definedName name="solver_rhs4" localSheetId="0" hidden="1">7</definedName>
    <definedName name="solver_rlx" localSheetId="0" hidden="1">0</definedName>
    <definedName name="solver_rsd" localSheetId="0" hidden="1">0</definedName>
    <definedName name="solver_rsmp" hidden="1">2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c4" localSheetId="0" hidden="1">1</definedName>
    <definedName name="solver_rxv" localSheetId="0" hidden="1">1</definedName>
    <definedName name="solver_scl" localSheetId="0" hidden="1">0</definedName>
    <definedName name="solver_seed" hidden="1">0</definedName>
    <definedName name="solver_sel" localSheetId="0" hidden="1">1</definedName>
    <definedName name="solver_sho" localSheetId="0" hidden="1">0</definedName>
    <definedName name="solver_slv" localSheetId="0" hidden="1">0</definedName>
    <definedName name="solver_slvu" localSheetId="0" hidden="1">0</definedName>
    <definedName name="solver_spid" localSheetId="0" hidden="1">" "</definedName>
    <definedName name="solver_srvr" localSheetId="0" hidden="1">" "</definedName>
    <definedName name="solver_ssz" localSheetId="0" hidden="1">0</definedName>
    <definedName name="solver_tim" localSheetId="0" hidden="1">2147483647</definedName>
    <definedName name="solver_tol" localSheetId="0" hidden="1">0</definedName>
    <definedName name="solver_typ" localSheetId="0" hidden="1">2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12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" l="1"/>
  <c r="G9" i="1"/>
  <c r="G8" i="1"/>
  <c r="G7" i="1"/>
  <c r="G6" i="1"/>
  <c r="G5" i="1"/>
  <c r="H11" i="1"/>
  <c r="H10" i="1"/>
  <c r="H9" i="1"/>
  <c r="H8" i="1"/>
  <c r="H7" i="1"/>
  <c r="H6" i="1"/>
  <c r="H5" i="1"/>
  <c r="G11" i="1" l="1"/>
  <c r="G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5" authorId="0" shapeId="0" xr:uid="{00000000-0006-0000-00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H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Constraint cell</t>
        </r>
      </text>
    </comment>
    <comment ref="D6" authorId="0" shapeId="0" xr:uid="{00000000-0006-0000-00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H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Constraint cell</t>
        </r>
      </text>
    </comment>
    <comment ref="D7" authorId="0" shapeId="0" xr:uid="{00000000-0006-0000-00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H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Constraint cell</t>
        </r>
      </text>
    </comment>
    <comment ref="D8" authorId="0" shapeId="0" xr:uid="{00000000-0006-0000-00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H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Constraint cell</t>
        </r>
      </text>
    </comment>
    <comment ref="D9" authorId="0" shapeId="0" xr:uid="{00000000-0006-0000-00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H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Constraint cell</t>
        </r>
      </text>
    </comment>
    <comment ref="D10" authorId="0" shapeId="0" xr:uid="{00000000-0006-0000-0000-00000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H10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Constraint cell</t>
        </r>
      </text>
    </comment>
    <comment ref="D11" authorId="0" shapeId="0" xr:uid="{00000000-0006-0000-0000-00000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H1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Constraint cell</t>
        </r>
      </text>
    </comment>
    <comment ref="D12" authorId="0" shapeId="0" xr:uid="{00000000-0006-0000-0000-00000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12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Objective cell</t>
        </r>
      </text>
    </comment>
    <comment ref="D13" authorId="0" shapeId="0" xr:uid="{00000000-0006-0000-0000-00001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4" authorId="0" shapeId="0" xr:uid="{00000000-0006-0000-0000-00001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5" authorId="0" shapeId="0" xr:uid="{00000000-0006-0000-0000-00001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6" authorId="0" shapeId="0" xr:uid="{00000000-0006-0000-0000-00001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7" authorId="0" shapeId="0" xr:uid="{00000000-0006-0000-0000-00001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8" authorId="0" shapeId="0" xr:uid="{00000000-0006-0000-0000-00001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9" authorId="0" shapeId="0" xr:uid="{00000000-0006-0000-0000-00001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0" authorId="0" shapeId="0" xr:uid="{00000000-0006-0000-0000-00001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1" authorId="0" shapeId="0" xr:uid="{00000000-0006-0000-0000-00001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2" authorId="0" shapeId="0" xr:uid="{00000000-0006-0000-0000-00001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3" authorId="0" shapeId="0" xr:uid="{00000000-0006-0000-0000-00001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4" authorId="0" shapeId="0" xr:uid="{00000000-0006-0000-0000-00001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5" authorId="0" shapeId="0" xr:uid="{00000000-0006-0000-0000-00001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6" authorId="0" shapeId="0" xr:uid="{00000000-0006-0000-0000-00001E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7" authorId="0" shapeId="0" xr:uid="{00000000-0006-0000-0000-00001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8" authorId="0" shapeId="0" xr:uid="{00000000-0006-0000-0000-000020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29" authorId="0" shapeId="0" xr:uid="{00000000-0006-0000-0000-00002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0" authorId="0" shapeId="0" xr:uid="{00000000-0006-0000-0000-00002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1" authorId="0" shapeId="0" xr:uid="{00000000-0006-0000-0000-00002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2" authorId="0" shapeId="0" xr:uid="{00000000-0006-0000-0000-00002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3" authorId="0" shapeId="0" xr:uid="{00000000-0006-0000-0000-00002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4" authorId="0" shapeId="0" xr:uid="{00000000-0006-0000-0000-00002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5" authorId="0" shapeId="0" xr:uid="{00000000-0006-0000-0000-00002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6" authorId="0" shapeId="0" xr:uid="{00000000-0006-0000-0000-00002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7" authorId="0" shapeId="0" xr:uid="{00000000-0006-0000-0000-00002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38" authorId="0" shapeId="0" xr:uid="{00000000-0006-0000-0000-00002A000000}">
      <text>
        <r>
          <rPr>
            <sz val="8"/>
            <color indexed="81"/>
            <rFont val="Tahoma"/>
            <family val="2"/>
          </rPr>
          <t>Variable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3" authorId="0" shapeId="0" xr:uid="{00000000-0006-0000-01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" authorId="0" shapeId="0" xr:uid="{00000000-0006-0000-01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4" authorId="0" shapeId="0" xr:uid="{00000000-0006-0000-01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4" authorId="0" shapeId="0" xr:uid="{00000000-0006-0000-0100-00000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5" authorId="0" shapeId="0" xr:uid="{00000000-0006-0000-01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5" authorId="0" shapeId="0" xr:uid="{00000000-0006-0000-0100-00000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6" authorId="0" shapeId="0" xr:uid="{00000000-0006-0000-01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6" authorId="0" shapeId="0" xr:uid="{00000000-0006-0000-0100-00000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7" authorId="0" shapeId="0" xr:uid="{00000000-0006-0000-01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7" authorId="0" shapeId="0" xr:uid="{00000000-0006-0000-0100-00000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8" authorId="0" shapeId="0" xr:uid="{00000000-0006-0000-0100-00000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8" authorId="0" shapeId="0" xr:uid="{00000000-0006-0000-0100-00000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9" authorId="0" shapeId="0" xr:uid="{00000000-0006-0000-0100-00000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9" authorId="0" shapeId="0" xr:uid="{00000000-0006-0000-0100-00000E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0" authorId="0" shapeId="0" xr:uid="{00000000-0006-0000-0100-00000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0" authorId="0" shapeId="0" xr:uid="{00000000-0006-0000-0100-000010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1" authorId="0" shapeId="0" xr:uid="{00000000-0006-0000-0100-00001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1" authorId="0" shapeId="0" xr:uid="{00000000-0006-0000-0100-00001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2" authorId="0" shapeId="0" xr:uid="{00000000-0006-0000-0100-00001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2" authorId="0" shapeId="0" xr:uid="{00000000-0006-0000-0100-00001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3" authorId="0" shapeId="0" xr:uid="{00000000-0006-0000-0100-00001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3" authorId="0" shapeId="0" xr:uid="{00000000-0006-0000-0100-00001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4" authorId="0" shapeId="0" xr:uid="{00000000-0006-0000-0100-00001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 xr:uid="{00000000-0006-0000-0100-00001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5" authorId="0" shapeId="0" xr:uid="{00000000-0006-0000-0100-00001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5" authorId="0" shapeId="0" xr:uid="{00000000-0006-0000-0100-00001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6" authorId="0" shapeId="0" xr:uid="{00000000-0006-0000-0100-00001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6" authorId="0" shapeId="0" xr:uid="{00000000-0006-0000-0100-00001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7" authorId="0" shapeId="0" xr:uid="{00000000-0006-0000-0100-00001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7" authorId="0" shapeId="0" xr:uid="{00000000-0006-0000-0100-00001E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8" authorId="0" shapeId="0" xr:uid="{00000000-0006-0000-0100-00001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8" authorId="0" shapeId="0" xr:uid="{00000000-0006-0000-0100-000020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19" authorId="0" shapeId="0" xr:uid="{00000000-0006-0000-0100-00002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9" authorId="0" shapeId="0" xr:uid="{00000000-0006-0000-0100-00002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0" authorId="0" shapeId="0" xr:uid="{00000000-0006-0000-0100-00002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0" authorId="0" shapeId="0" xr:uid="{00000000-0006-0000-0100-00002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1" authorId="0" shapeId="0" xr:uid="{00000000-0006-0000-0100-00002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1" authorId="0" shapeId="0" xr:uid="{00000000-0006-0000-0100-00002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2" authorId="0" shapeId="0" xr:uid="{00000000-0006-0000-0100-00002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2" authorId="0" shapeId="0" xr:uid="{00000000-0006-0000-0100-00002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3" authorId="0" shapeId="0" xr:uid="{00000000-0006-0000-0100-00002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3" authorId="0" shapeId="0" xr:uid="{00000000-0006-0000-0100-00002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4" authorId="0" shapeId="0" xr:uid="{00000000-0006-0000-0100-00002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4" authorId="0" shapeId="0" xr:uid="{00000000-0006-0000-0100-00002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5" authorId="0" shapeId="0" xr:uid="{00000000-0006-0000-0100-00002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5" authorId="0" shapeId="0" xr:uid="{00000000-0006-0000-0100-00002E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6" authorId="0" shapeId="0" xr:uid="{00000000-0006-0000-0100-00002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6" authorId="0" shapeId="0" xr:uid="{00000000-0006-0000-0100-000030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7" authorId="0" shapeId="0" xr:uid="{00000000-0006-0000-0100-00003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7" authorId="0" shapeId="0" xr:uid="{00000000-0006-0000-0100-00003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8" authorId="0" shapeId="0" xr:uid="{00000000-0006-0000-0100-00003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8" authorId="0" shapeId="0" xr:uid="{00000000-0006-0000-0100-00003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29" authorId="0" shapeId="0" xr:uid="{00000000-0006-0000-0100-00003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9" authorId="0" shapeId="0" xr:uid="{00000000-0006-0000-0100-00003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30" authorId="0" shapeId="0" xr:uid="{00000000-0006-0000-0100-00003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0" authorId="0" shapeId="0" xr:uid="{00000000-0006-0000-0100-00003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31" authorId="0" shapeId="0" xr:uid="{00000000-0006-0000-0100-00003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1" authorId="0" shapeId="0" xr:uid="{00000000-0006-0000-0100-00003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32" authorId="0" shapeId="0" xr:uid="{00000000-0006-0000-0100-00003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2" authorId="0" shapeId="0" xr:uid="{00000000-0006-0000-0100-00003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33" authorId="0" shapeId="0" xr:uid="{00000000-0006-0000-0100-00003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3" authorId="0" shapeId="0" xr:uid="{00000000-0006-0000-0100-00003E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34" authorId="0" shapeId="0" xr:uid="{00000000-0006-0000-0100-00003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4" authorId="0" shapeId="0" xr:uid="{00000000-0006-0000-0100-000040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35" authorId="0" shapeId="0" xr:uid="{00000000-0006-0000-0100-00004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5" authorId="0" shapeId="0" xr:uid="{00000000-0006-0000-0100-00004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A36" authorId="0" shapeId="0" xr:uid="{00000000-0006-0000-0100-00004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36" authorId="0" shapeId="0" xr:uid="{00000000-0006-0000-0100-000044000000}">
      <text>
        <r>
          <rPr>
            <sz val="8"/>
            <color indexed="81"/>
            <rFont val="Tahoma"/>
            <family val="2"/>
          </rPr>
          <t>Variable cell</t>
        </r>
      </text>
    </comment>
  </commentList>
</comments>
</file>

<file path=xl/sharedStrings.xml><?xml version="1.0" encoding="utf-8"?>
<sst xmlns="http://schemas.openxmlformats.org/spreadsheetml/2006/main" count="7" uniqueCount="6">
  <si>
    <t>Student</t>
  </si>
  <si>
    <t>GMAT Score</t>
  </si>
  <si>
    <t>Team</t>
  </si>
  <si>
    <t>Count</t>
  </si>
  <si>
    <t>Variance</t>
  </si>
  <si>
    <t>Average GMAT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</si>
</sst>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0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1"/>
      <color rgb="FF0557BB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37" fontId="3" fillId="2" borderId="2" xfId="1" applyNumberFormat="1" applyFont="1" applyFill="1" applyBorder="1" applyAlignment="1">
      <alignment horizontal="center" vertical="center" wrapText="1"/>
    </xf>
    <xf numFmtId="1" fontId="4" fillId="2" borderId="3" xfId="2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4" fillId="2" borderId="4" xfId="2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2" fillId="0" borderId="1" xfId="0" applyFont="1" applyBorder="1" applyAlignment="1">
      <alignment horizontal="center" wrapText="1"/>
    </xf>
    <xf numFmtId="164" fontId="5" fillId="2" borderId="5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254000</xdr:colOff>
      <xdr:row>0</xdr:row>
      <xdr:rowOff>52918</xdr:rowOff>
    </xdr:from>
    <xdr:to>
      <xdr:col>6</xdr:col>
      <xdr:colOff>253999</xdr:colOff>
      <xdr:row>2</xdr:row>
      <xdr:rowOff>74084</xdr:rowOff>
    </xdr:to>
    <xdr:sp macro="[0]!Toggle" textlink="">
      <xdr:nvSpPr>
        <xdr:cNvPr id="2" name="AutoShape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1481667" y="52918"/>
          <a:ext cx="2508249" cy="402166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MBA Team Assignments</a:t>
          </a:r>
        </a:p>
      </xdr:txBody>
    </xdr:sp>
    <xdr:clientData/>
  </xdr:twoCellAnchor>
  <xdr:twoCellAnchor>
    <xdr:from>
      <xdr:col>4</xdr:col>
      <xdr:colOff>169334</xdr:colOff>
      <xdr:row>26</xdr:row>
      <xdr:rowOff>137586</xdr:rowOff>
    </xdr:from>
    <xdr:to>
      <xdr:col>8</xdr:col>
      <xdr:colOff>296334</xdr:colOff>
      <xdr:row>30</xdr:row>
      <xdr:rowOff>74084</xdr:rowOff>
    </xdr:to>
    <xdr:sp macro="" textlink="">
      <xdr:nvSpPr>
        <xdr:cNvPr id="3" name="Note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2645834" y="3429003"/>
          <a:ext cx="2794000" cy="69849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53882" dir="2700000" algn="ctr" rotWithShape="0">
            <a:srgbClr val="808080"/>
          </a:outerShdw>
        </a:effectLst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Courier"/>
            </a:rPr>
            <a:t>Minimize:       G12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Courier"/>
            </a:rPr>
            <a:t>By changing: D5:D38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Courier"/>
            </a:rPr>
            <a:t>Subject to:     1&lt;=D5:D38&lt;=7 &amp; integer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Courier"/>
            </a:rPr>
            <a:t>                        H5:H11&lt;=5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Courier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I40"/>
  <sheetViews>
    <sheetView tabSelected="1" zoomScaleNormal="100" workbookViewId="0">
      <selection activeCell="F16" sqref="F16"/>
    </sheetView>
  </sheetViews>
  <sheetFormatPr defaultRowHeight="15" x14ac:dyDescent="0.25"/>
  <cols>
    <col min="3" max="3" width="9.5703125" customWidth="1"/>
    <col min="7" max="7" width="12.42578125" style="3" customWidth="1"/>
    <col min="9" max="9" width="9.140625" style="3"/>
  </cols>
  <sheetData>
    <row r="4" spans="2:8" ht="30.75" thickBot="1" x14ac:dyDescent="0.3">
      <c r="B4" s="1" t="s">
        <v>0</v>
      </c>
      <c r="C4" s="9" t="s">
        <v>1</v>
      </c>
      <c r="D4" s="1" t="s">
        <v>2</v>
      </c>
      <c r="E4" s="2"/>
      <c r="F4" s="1" t="s">
        <v>2</v>
      </c>
      <c r="G4" s="9" t="s">
        <v>5</v>
      </c>
      <c r="H4" s="1" t="s">
        <v>3</v>
      </c>
    </row>
    <row r="5" spans="2:8" x14ac:dyDescent="0.25">
      <c r="B5" s="3">
        <v>1</v>
      </c>
      <c r="C5" s="3">
        <v>532</v>
      </c>
      <c r="D5" s="4">
        <v>1</v>
      </c>
      <c r="F5" s="3">
        <v>1</v>
      </c>
      <c r="G5" s="11">
        <f>AVERAGEIF($D$5:$D$38,F5,$C$5:$C$38)</f>
        <v>603.6</v>
      </c>
      <c r="H5" s="5">
        <f>COUNTIF($D$5:$D$38,F5)</f>
        <v>5</v>
      </c>
    </row>
    <row r="6" spans="2:8" x14ac:dyDescent="0.25">
      <c r="B6" s="3">
        <v>2</v>
      </c>
      <c r="C6" s="3">
        <v>594</v>
      </c>
      <c r="D6" s="4">
        <v>2</v>
      </c>
      <c r="F6" s="3">
        <v>2</v>
      </c>
      <c r="G6" s="11">
        <f t="shared" ref="G6:G11" si="0">AVERAGEIF($D$5:$D$38,F6,$C$5:$C$38)</f>
        <v>598.4</v>
      </c>
      <c r="H6" s="5">
        <f t="shared" ref="H6:H11" si="1">COUNTIF($D$5:$D$38,F6)</f>
        <v>5</v>
      </c>
    </row>
    <row r="7" spans="2:8" x14ac:dyDescent="0.25">
      <c r="B7" s="3">
        <v>3</v>
      </c>
      <c r="C7" s="3">
        <v>558</v>
      </c>
      <c r="D7" s="4">
        <v>3</v>
      </c>
      <c r="F7" s="3">
        <v>3</v>
      </c>
      <c r="G7" s="11">
        <f t="shared" si="0"/>
        <v>617.6</v>
      </c>
      <c r="H7" s="5">
        <f t="shared" si="1"/>
        <v>5</v>
      </c>
    </row>
    <row r="8" spans="2:8" x14ac:dyDescent="0.25">
      <c r="B8" s="3">
        <v>4</v>
      </c>
      <c r="C8" s="3">
        <v>683</v>
      </c>
      <c r="D8" s="4">
        <v>4</v>
      </c>
      <c r="F8" s="3">
        <v>4</v>
      </c>
      <c r="G8" s="11">
        <f t="shared" si="0"/>
        <v>680.4</v>
      </c>
      <c r="H8" s="5">
        <f t="shared" si="1"/>
        <v>5</v>
      </c>
    </row>
    <row r="9" spans="2:8" x14ac:dyDescent="0.25">
      <c r="B9" s="3">
        <v>5</v>
      </c>
      <c r="C9" s="3">
        <v>643</v>
      </c>
      <c r="D9" s="4">
        <v>5</v>
      </c>
      <c r="F9" s="3">
        <v>5</v>
      </c>
      <c r="G9" s="11">
        <f t="shared" si="0"/>
        <v>607.20000000000005</v>
      </c>
      <c r="H9" s="5">
        <f t="shared" si="1"/>
        <v>5</v>
      </c>
    </row>
    <row r="10" spans="2:8" x14ac:dyDescent="0.25">
      <c r="B10" s="3">
        <v>6</v>
      </c>
      <c r="C10" s="3">
        <v>596</v>
      </c>
      <c r="D10" s="4">
        <v>6</v>
      </c>
      <c r="F10" s="3">
        <v>6</v>
      </c>
      <c r="G10" s="11">
        <f t="shared" si="0"/>
        <v>633.4</v>
      </c>
      <c r="H10" s="5">
        <f t="shared" si="1"/>
        <v>5</v>
      </c>
    </row>
    <row r="11" spans="2:8" ht="15.75" thickBot="1" x14ac:dyDescent="0.3">
      <c r="B11" s="3">
        <v>7</v>
      </c>
      <c r="C11" s="3">
        <v>706</v>
      </c>
      <c r="D11" s="4">
        <v>7</v>
      </c>
      <c r="F11" s="6">
        <v>7</v>
      </c>
      <c r="G11" s="12">
        <f t="shared" si="0"/>
        <v>651.25</v>
      </c>
      <c r="H11" s="7">
        <f t="shared" si="1"/>
        <v>4</v>
      </c>
    </row>
    <row r="12" spans="2:8" ht="16.5" thickTop="1" thickBot="1" x14ac:dyDescent="0.3">
      <c r="B12" s="3">
        <v>8</v>
      </c>
      <c r="C12" s="3">
        <v>582</v>
      </c>
      <c r="D12" s="4">
        <v>1</v>
      </c>
      <c r="F12" s="2" t="s">
        <v>4</v>
      </c>
      <c r="G12" s="10">
        <f>IFERROR(VAR(G5:G11),9999999)</f>
        <v>887.557023809523</v>
      </c>
      <c r="H12" s="8"/>
    </row>
    <row r="13" spans="2:8" ht="15.75" thickTop="1" x14ac:dyDescent="0.25">
      <c r="B13" s="3">
        <v>9</v>
      </c>
      <c r="C13" s="3">
        <v>589</v>
      </c>
      <c r="D13" s="4">
        <v>2</v>
      </c>
    </row>
    <row r="14" spans="2:8" x14ac:dyDescent="0.25">
      <c r="B14" s="3">
        <v>10</v>
      </c>
      <c r="C14" s="3">
        <v>621</v>
      </c>
      <c r="D14" s="4">
        <v>3</v>
      </c>
    </row>
    <row r="15" spans="2:8" x14ac:dyDescent="0.25">
      <c r="B15" s="3">
        <v>11</v>
      </c>
      <c r="C15" s="3">
        <v>693</v>
      </c>
      <c r="D15" s="4">
        <v>4</v>
      </c>
    </row>
    <row r="16" spans="2:8" x14ac:dyDescent="0.25">
      <c r="B16" s="3">
        <v>12</v>
      </c>
      <c r="C16" s="3">
        <v>533</v>
      </c>
      <c r="D16" s="4">
        <v>5</v>
      </c>
    </row>
    <row r="17" spans="2:4" hidden="1" x14ac:dyDescent="0.25">
      <c r="B17" s="3">
        <v>13</v>
      </c>
      <c r="C17" s="3">
        <v>656</v>
      </c>
      <c r="D17" s="4">
        <v>6</v>
      </c>
    </row>
    <row r="18" spans="2:4" hidden="1" x14ac:dyDescent="0.25">
      <c r="B18" s="3">
        <v>14</v>
      </c>
      <c r="C18" s="3">
        <v>652</v>
      </c>
      <c r="D18" s="4">
        <v>7</v>
      </c>
    </row>
    <row r="19" spans="2:4" hidden="1" x14ac:dyDescent="0.25">
      <c r="B19" s="3">
        <v>15</v>
      </c>
      <c r="C19" s="3">
        <v>674</v>
      </c>
      <c r="D19" s="4">
        <v>1</v>
      </c>
    </row>
    <row r="20" spans="2:4" hidden="1" x14ac:dyDescent="0.25">
      <c r="B20" s="3">
        <v>16</v>
      </c>
      <c r="C20" s="3">
        <v>645</v>
      </c>
      <c r="D20" s="4">
        <v>2</v>
      </c>
    </row>
    <row r="21" spans="2:4" hidden="1" x14ac:dyDescent="0.25">
      <c r="B21" s="3">
        <v>17</v>
      </c>
      <c r="C21" s="3">
        <v>583</v>
      </c>
      <c r="D21" s="4">
        <v>3</v>
      </c>
    </row>
    <row r="22" spans="2:4" hidden="1" x14ac:dyDescent="0.25">
      <c r="B22" s="3">
        <v>18</v>
      </c>
      <c r="C22" s="3">
        <v>650</v>
      </c>
      <c r="D22" s="4">
        <v>4</v>
      </c>
    </row>
    <row r="23" spans="2:4" hidden="1" x14ac:dyDescent="0.25">
      <c r="B23" s="3">
        <v>19</v>
      </c>
      <c r="C23" s="3">
        <v>771</v>
      </c>
      <c r="D23" s="4">
        <v>5</v>
      </c>
    </row>
    <row r="24" spans="2:4" hidden="1" x14ac:dyDescent="0.25">
      <c r="B24" s="3">
        <v>20</v>
      </c>
      <c r="C24" s="3">
        <v>623</v>
      </c>
      <c r="D24" s="4">
        <v>6</v>
      </c>
    </row>
    <row r="25" spans="2:4" hidden="1" x14ac:dyDescent="0.25">
      <c r="B25" s="3">
        <v>21</v>
      </c>
      <c r="C25" s="3">
        <v>663</v>
      </c>
      <c r="D25" s="4">
        <v>7</v>
      </c>
    </row>
    <row r="26" spans="2:4" hidden="1" x14ac:dyDescent="0.25">
      <c r="B26" s="3">
        <v>22</v>
      </c>
      <c r="C26" s="3">
        <v>690</v>
      </c>
      <c r="D26" s="4">
        <v>1</v>
      </c>
    </row>
    <row r="27" spans="2:4" x14ac:dyDescent="0.25">
      <c r="B27" s="3">
        <v>23</v>
      </c>
      <c r="C27" s="3">
        <v>597</v>
      </c>
      <c r="D27" s="4">
        <v>2</v>
      </c>
    </row>
    <row r="28" spans="2:4" x14ac:dyDescent="0.25">
      <c r="B28" s="3">
        <v>24</v>
      </c>
      <c r="C28" s="3">
        <v>711</v>
      </c>
      <c r="D28" s="4">
        <v>3</v>
      </c>
    </row>
    <row r="29" spans="2:4" x14ac:dyDescent="0.25">
      <c r="B29" s="3">
        <v>25</v>
      </c>
      <c r="C29" s="3">
        <v>757</v>
      </c>
      <c r="D29" s="4">
        <v>4</v>
      </c>
    </row>
    <row r="30" spans="2:4" x14ac:dyDescent="0.25">
      <c r="B30" s="3">
        <v>26</v>
      </c>
      <c r="C30" s="3">
        <v>568</v>
      </c>
      <c r="D30" s="4">
        <v>5</v>
      </c>
    </row>
    <row r="31" spans="2:4" x14ac:dyDescent="0.25">
      <c r="B31" s="3">
        <v>27</v>
      </c>
      <c r="C31" s="3">
        <v>753</v>
      </c>
      <c r="D31" s="4">
        <v>6</v>
      </c>
    </row>
    <row r="32" spans="2:4" x14ac:dyDescent="0.25">
      <c r="B32" s="3">
        <v>28</v>
      </c>
      <c r="C32" s="3">
        <v>584</v>
      </c>
      <c r="D32" s="4">
        <v>7</v>
      </c>
    </row>
    <row r="33" spans="2:5" x14ac:dyDescent="0.25">
      <c r="B33" s="3">
        <v>29</v>
      </c>
      <c r="C33" s="3">
        <v>540</v>
      </c>
      <c r="D33" s="4">
        <v>1</v>
      </c>
    </row>
    <row r="34" spans="2:5" x14ac:dyDescent="0.25">
      <c r="B34" s="3">
        <v>30</v>
      </c>
      <c r="C34" s="3">
        <v>567</v>
      </c>
      <c r="D34" s="4">
        <v>2</v>
      </c>
    </row>
    <row r="35" spans="2:5" x14ac:dyDescent="0.25">
      <c r="B35" s="3">
        <v>31</v>
      </c>
      <c r="C35" s="3">
        <v>615</v>
      </c>
      <c r="D35" s="4">
        <v>3</v>
      </c>
    </row>
    <row r="36" spans="2:5" x14ac:dyDescent="0.25">
      <c r="B36" s="3">
        <v>32</v>
      </c>
      <c r="C36" s="3">
        <v>619</v>
      </c>
      <c r="D36" s="4">
        <v>4</v>
      </c>
    </row>
    <row r="37" spans="2:5" x14ac:dyDescent="0.25">
      <c r="B37" s="3">
        <v>33</v>
      </c>
      <c r="C37" s="3">
        <v>521</v>
      </c>
      <c r="D37" s="4">
        <v>5</v>
      </c>
    </row>
    <row r="38" spans="2:5" x14ac:dyDescent="0.25">
      <c r="B38" s="3">
        <v>34</v>
      </c>
      <c r="C38" s="3">
        <v>539</v>
      </c>
      <c r="D38" s="4">
        <v>6</v>
      </c>
    </row>
    <row r="39" spans="2:5" x14ac:dyDescent="0.25">
      <c r="D39" s="3"/>
    </row>
    <row r="40" spans="2:5" x14ac:dyDescent="0.25">
      <c r="E40" s="3"/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36"/>
  <sheetViews>
    <sheetView workbookViewId="0">
      <selection activeCell="A3" sqref="A3:A36"/>
    </sheetView>
  </sheetViews>
  <sheetFormatPr defaultRowHeight="15" x14ac:dyDescent="0.25"/>
  <sheetData>
    <row r="3" spans="1:2" x14ac:dyDescent="0.25">
      <c r="A3" s="4">
        <v>1</v>
      </c>
      <c r="B3" s="4">
        <v>5</v>
      </c>
    </row>
    <row r="4" spans="1:2" x14ac:dyDescent="0.25">
      <c r="A4" s="4">
        <v>2</v>
      </c>
      <c r="B4" s="4">
        <v>5</v>
      </c>
    </row>
    <row r="5" spans="1:2" x14ac:dyDescent="0.25">
      <c r="A5" s="4">
        <v>3</v>
      </c>
      <c r="B5" s="4">
        <v>3</v>
      </c>
    </row>
    <row r="6" spans="1:2" x14ac:dyDescent="0.25">
      <c r="A6" s="4">
        <v>4</v>
      </c>
      <c r="B6" s="4">
        <v>3</v>
      </c>
    </row>
    <row r="7" spans="1:2" x14ac:dyDescent="0.25">
      <c r="A7" s="4">
        <v>5</v>
      </c>
      <c r="B7" s="4">
        <v>4</v>
      </c>
    </row>
    <row r="8" spans="1:2" x14ac:dyDescent="0.25">
      <c r="A8" s="4">
        <v>6</v>
      </c>
      <c r="B8" s="4">
        <v>4</v>
      </c>
    </row>
    <row r="9" spans="1:2" x14ac:dyDescent="0.25">
      <c r="A9" s="4">
        <v>7</v>
      </c>
      <c r="B9" s="4">
        <v>6</v>
      </c>
    </row>
    <row r="10" spans="1:2" x14ac:dyDescent="0.25">
      <c r="A10" s="4">
        <v>1</v>
      </c>
      <c r="B10" s="4">
        <v>5</v>
      </c>
    </row>
    <row r="11" spans="1:2" x14ac:dyDescent="0.25">
      <c r="A11" s="4">
        <v>2</v>
      </c>
      <c r="B11" s="4">
        <v>7</v>
      </c>
    </row>
    <row r="12" spans="1:2" x14ac:dyDescent="0.25">
      <c r="A12" s="4">
        <v>3</v>
      </c>
      <c r="B12" s="4">
        <v>3</v>
      </c>
    </row>
    <row r="13" spans="1:2" x14ac:dyDescent="0.25">
      <c r="A13" s="4">
        <v>4</v>
      </c>
      <c r="B13" s="4">
        <v>1</v>
      </c>
    </row>
    <row r="14" spans="1:2" x14ac:dyDescent="0.25">
      <c r="A14" s="4">
        <v>5</v>
      </c>
      <c r="B14" s="4">
        <v>1</v>
      </c>
    </row>
    <row r="15" spans="1:2" x14ac:dyDescent="0.25">
      <c r="A15" s="4">
        <v>6</v>
      </c>
      <c r="B15" s="4">
        <v>3</v>
      </c>
    </row>
    <row r="16" spans="1:2" x14ac:dyDescent="0.25">
      <c r="A16" s="4">
        <v>7</v>
      </c>
      <c r="B16" s="4">
        <v>7</v>
      </c>
    </row>
    <row r="17" spans="1:2" x14ac:dyDescent="0.25">
      <c r="A17" s="4">
        <v>1</v>
      </c>
      <c r="B17" s="4">
        <v>4</v>
      </c>
    </row>
    <row r="18" spans="1:2" x14ac:dyDescent="0.25">
      <c r="A18" s="4">
        <v>2</v>
      </c>
      <c r="B18" s="4">
        <v>6</v>
      </c>
    </row>
    <row r="19" spans="1:2" x14ac:dyDescent="0.25">
      <c r="A19" s="4">
        <v>3</v>
      </c>
      <c r="B19" s="4">
        <v>6</v>
      </c>
    </row>
    <row r="20" spans="1:2" x14ac:dyDescent="0.25">
      <c r="A20" s="4">
        <v>4</v>
      </c>
      <c r="B20" s="4">
        <v>6</v>
      </c>
    </row>
    <row r="21" spans="1:2" x14ac:dyDescent="0.25">
      <c r="A21" s="4">
        <v>5</v>
      </c>
      <c r="B21" s="4">
        <v>7</v>
      </c>
    </row>
    <row r="22" spans="1:2" x14ac:dyDescent="0.25">
      <c r="A22" s="4">
        <v>6</v>
      </c>
      <c r="B22" s="4">
        <v>4</v>
      </c>
    </row>
    <row r="23" spans="1:2" x14ac:dyDescent="0.25">
      <c r="A23" s="4">
        <v>7</v>
      </c>
      <c r="B23" s="4">
        <v>5</v>
      </c>
    </row>
    <row r="24" spans="1:2" x14ac:dyDescent="0.25">
      <c r="A24" s="4">
        <v>1</v>
      </c>
      <c r="B24" s="4">
        <v>2</v>
      </c>
    </row>
    <row r="25" spans="1:2" x14ac:dyDescent="0.25">
      <c r="A25" s="4">
        <v>2</v>
      </c>
      <c r="B25" s="4">
        <v>4</v>
      </c>
    </row>
    <row r="26" spans="1:2" x14ac:dyDescent="0.25">
      <c r="A26" s="4">
        <v>3</v>
      </c>
      <c r="B26" s="4">
        <v>1</v>
      </c>
    </row>
    <row r="27" spans="1:2" x14ac:dyDescent="0.25">
      <c r="A27" s="4">
        <v>4</v>
      </c>
      <c r="B27" s="4">
        <v>5</v>
      </c>
    </row>
    <row r="28" spans="1:2" x14ac:dyDescent="0.25">
      <c r="A28" s="4">
        <v>5</v>
      </c>
      <c r="B28" s="4">
        <v>1</v>
      </c>
    </row>
    <row r="29" spans="1:2" x14ac:dyDescent="0.25">
      <c r="A29" s="4">
        <v>6</v>
      </c>
      <c r="B29" s="4">
        <v>2</v>
      </c>
    </row>
    <row r="30" spans="1:2" x14ac:dyDescent="0.25">
      <c r="A30" s="4">
        <v>7</v>
      </c>
      <c r="B30" s="4">
        <v>7</v>
      </c>
    </row>
    <row r="31" spans="1:2" x14ac:dyDescent="0.25">
      <c r="A31" s="4">
        <v>1</v>
      </c>
      <c r="B31" s="4">
        <v>7</v>
      </c>
    </row>
    <row r="32" spans="1:2" x14ac:dyDescent="0.25">
      <c r="A32" s="4">
        <v>2</v>
      </c>
      <c r="B32" s="4">
        <v>6</v>
      </c>
    </row>
    <row r="33" spans="1:2" x14ac:dyDescent="0.25">
      <c r="A33" s="4">
        <v>3</v>
      </c>
      <c r="B33" s="4">
        <v>3</v>
      </c>
    </row>
    <row r="34" spans="1:2" x14ac:dyDescent="0.25">
      <c r="A34" s="4">
        <v>4</v>
      </c>
      <c r="B34" s="4">
        <v>1</v>
      </c>
    </row>
    <row r="35" spans="1:2" x14ac:dyDescent="0.25">
      <c r="A35" s="4">
        <v>5</v>
      </c>
      <c r="B35" s="4">
        <v>2</v>
      </c>
    </row>
    <row r="36" spans="1:2" x14ac:dyDescent="0.25">
      <c r="A36" s="4">
        <v>6</v>
      </c>
      <c r="B36" s="4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Teams</vt:lpstr>
      <vt:lpstr>Sheet1</vt:lpstr>
    </vt:vector>
  </TitlesOfParts>
  <Company>VT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Bardossy</cp:lastModifiedBy>
  <dcterms:created xsi:type="dcterms:W3CDTF">2010-03-12T22:44:07Z</dcterms:created>
  <dcterms:modified xsi:type="dcterms:W3CDTF">2021-11-08T00:51:45Z</dcterms:modified>
</cp:coreProperties>
</file>