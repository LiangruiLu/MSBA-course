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BUDT732 Fall 21\"/>
    </mc:Choice>
  </mc:AlternateContent>
  <xr:revisionPtr revIDLastSave="0" documentId="8_{93229E4C-AABE-400E-B251-3940D259BD50}" xr6:coauthVersionLast="47" xr6:coauthVersionMax="47" xr10:uidLastSave="{00000000-0000-0000-0000-000000000000}"/>
  <bookViews>
    <workbookView xWindow="-120" yWindow="-120" windowWidth="19440" windowHeight="10440" firstSheet="1" activeTab="1" xr2:uid="{00000000-000D-0000-FFFF-FFFF00000000}"/>
  </bookViews>
  <sheets>
    <sheet name="Sheet1" sheetId="6" state="hidden" r:id="rId1"/>
    <sheet name="Drill Bit Tour" sheetId="8" r:id="rId2"/>
  </sheets>
  <definedNames>
    <definedName name="param_extinc" localSheetId="1" hidden="1">0.5</definedName>
    <definedName name="param_iisbnd" localSheetId="1" hidden="1">0</definedName>
    <definedName name="param_nsfeas" localSheetId="1" hidden="1">0</definedName>
    <definedName name="solver_adj" localSheetId="1" hidden="1">'Drill Bit Tour'!$F$18:$F$25</definedName>
    <definedName name="solver_adj_ob" localSheetId="1" hidden="1">1</definedName>
    <definedName name="solver_cha" localSheetId="1" hidden="1">0</definedName>
    <definedName name="solver_chc1" localSheetId="1" hidden="1">0</definedName>
    <definedName name="solver_chn" localSheetId="1" hidden="1">4</definedName>
    <definedName name="solver_chp1" localSheetId="1" hidden="1">0</definedName>
    <definedName name="solver_cht" localSheetId="1" hidden="1">0</definedName>
    <definedName name="solver_cir1" localSheetId="1" hidden="1">1</definedName>
    <definedName name="solver_con" localSheetId="1" hidden="1">" "</definedName>
    <definedName name="solver_con1" localSheetId="1" hidden="1">" "</definedName>
    <definedName name="solver_cvg" localSheetId="1" hidden="1">0.0001</definedName>
    <definedName name="solver_dia" localSheetId="1" hidden="1">5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fns" localSheetId="1" hidden="1">0</definedName>
    <definedName name="solver_iao" localSheetId="1" hidden="1">0</definedName>
    <definedName name="solver_ibd" localSheetId="1" hidden="1">2</definedName>
    <definedName name="solver_int" localSheetId="1" hidden="1">0</definedName>
    <definedName name="solver_irs" localSheetId="1" hidden="1">0</definedName>
    <definedName name="solver_ism" localSheetId="1" hidden="1">0</definedName>
    <definedName name="solver_itr" localSheetId="1" hidden="1">1000</definedName>
    <definedName name="solver_lhs_ob1" localSheetId="1" hidden="1">0</definedName>
    <definedName name="solver_lhs1" localSheetId="1" hidden="1">'Drill Bit Tour'!$F$18:$F$25</definedName>
    <definedName name="solver_lhs2" localSheetId="1" hidden="1">'Drill Bit Tour'!$E$18:$E$26</definedName>
    <definedName name="solver_lhs3" localSheetId="1" hidden="1">'Drill Bit Tour'!$F$18:$F$25</definedName>
    <definedName name="solver_lhs4" localSheetId="1" hidden="1">'Drill Bit Tour'!$I$16</definedName>
    <definedName name="solver_lin" localSheetId="1" hidden="1">2</definedName>
    <definedName name="solver_loc" localSheetId="1" hidden="1">1</definedName>
    <definedName name="solver_lva" localSheetId="1" hidden="1">2</definedName>
    <definedName name="solver_mda" localSheetId="1" hidden="1">4</definedName>
    <definedName name="solver_mip" localSheetId="1" hidden="1">5000</definedName>
    <definedName name="solver_mni" localSheetId="1" hidden="1">30</definedName>
    <definedName name="solver_mod" localSheetId="1" hidden="1">3</definedName>
    <definedName name="solver_mrt" localSheetId="1" hidden="1">0.075</definedName>
    <definedName name="solver_neg" localSheetId="1" hidden="1">2</definedName>
    <definedName name="solver_nod" localSheetId="1" hidden="1">5000</definedName>
    <definedName name="solver_ntr" localSheetId="1" hidden="1">0</definedName>
    <definedName name="solver_ntri" hidden="1">1000</definedName>
    <definedName name="solver_num" localSheetId="1" hidden="1">1</definedName>
    <definedName name="solver_nwt" localSheetId="1" hidden="1">1</definedName>
    <definedName name="solver_obc" localSheetId="1" hidden="1">0</definedName>
    <definedName name="solver_obp" localSheetId="1" hidden="1">0</definedName>
    <definedName name="solver_ofx" localSheetId="1" hidden="1">2</definedName>
    <definedName name="solver_opt" localSheetId="1" hidden="1">'Drill Bit Tour'!$G$27</definedName>
    <definedName name="solver_opt_ob" localSheetId="1" hidden="1">1</definedName>
    <definedName name="solver_pre" localSheetId="1" hidden="1">0.000001</definedName>
    <definedName name="solver_pro" localSheetId="1" hidden="1">2</definedName>
    <definedName name="solver_psi" localSheetId="1" hidden="1">0</definedName>
    <definedName name="solver_rbv" localSheetId="1" hidden="1">1</definedName>
    <definedName name="solver_rdp" localSheetId="1" hidden="1">0</definedName>
    <definedName name="solver_rel1" localSheetId="1" hidden="1">6</definedName>
    <definedName name="solver_rel2" localSheetId="1" hidden="1">6</definedName>
    <definedName name="solver_rel3" localSheetId="1" hidden="1">3</definedName>
    <definedName name="solver_rel4" localSheetId="1" hidden="1">2</definedName>
    <definedName name="solver_reo" localSheetId="1" hidden="1">2</definedName>
    <definedName name="solver_rep" localSheetId="1" hidden="1">2</definedName>
    <definedName name="solver_rhs2" localSheetId="1" hidden="1">alldifferent</definedName>
    <definedName name="solver_rhs3" localSheetId="1" hidden="1">1</definedName>
    <definedName name="solver_rhs4" localSheetId="1" hidden="1">9</definedName>
    <definedName name="solver_rlx" localSheetId="1" hidden="1">0</definedName>
    <definedName name="solver_rsd" localSheetId="1" hidden="1">0</definedName>
    <definedName name="solver_rsmp" hidden="1">2</definedName>
    <definedName name="solver_rtr" localSheetId="1" hidden="1">0</definedName>
    <definedName name="solver_rxc1" localSheetId="1" hidden="1">1</definedName>
    <definedName name="solver_rxv" localSheetId="1" hidden="1">1</definedName>
    <definedName name="solver_scl" localSheetId="1" hidden="1">2</definedName>
    <definedName name="solver_seed" hidden="1">0</definedName>
    <definedName name="solver_sel" localSheetId="1" hidden="1">1</definedName>
    <definedName name="solver_sho" localSheetId="1" hidden="1">2</definedName>
    <definedName name="solver_slv" localSheetId="1" hidden="1">0</definedName>
    <definedName name="solver_slvu" localSheetId="1" hidden="1">0</definedName>
    <definedName name="solver_spid" localSheetId="1" hidden="1">" "</definedName>
    <definedName name="solver_srvr" localSheetId="1" hidden="1">" "</definedName>
    <definedName name="solver_ssz" localSheetId="1" hidden="1">100</definedName>
    <definedName name="solver_std" localSheetId="1" hidden="1">0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umod" localSheetId="1" hidden="1">1</definedName>
    <definedName name="solver_urs" localSheetId="1" hidden="1">0</definedName>
    <definedName name="solver_val" localSheetId="1" hidden="1">0</definedName>
    <definedName name="solver_var" localSheetId="1" hidden="1">" "</definedName>
    <definedName name="solver_ver" localSheetId="1" hidden="1">12</definedName>
    <definedName name="solver_vir" localSheetId="1" hidden="1">1</definedName>
    <definedName name="solver_vol" localSheetId="1" hidden="1">0</definedName>
    <definedName name="solver_vst" localSheetId="1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8" l="1"/>
  <c r="G19" i="8" s="1"/>
  <c r="E20" i="8"/>
  <c r="G20" i="8" s="1"/>
  <c r="E21" i="8"/>
  <c r="G21" i="8" s="1"/>
  <c r="E22" i="8"/>
  <c r="G22" i="8" s="1"/>
  <c r="E23" i="8"/>
  <c r="G23" i="8" s="1"/>
  <c r="E24" i="8"/>
  <c r="G24" i="8" s="1"/>
  <c r="E25" i="8"/>
  <c r="G25" i="8" s="1"/>
  <c r="E26" i="8"/>
  <c r="G26" i="8" s="1"/>
  <c r="G18" i="8"/>
  <c r="G27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Ragsdale</author>
  </authors>
  <commentList>
    <comment ref="B8" authorId="0" shapeId="0" xr:uid="{00000000-0006-0000-00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9" authorId="0" shapeId="0" xr:uid="{00000000-0006-0000-00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0" authorId="0" shapeId="0" xr:uid="{00000000-0006-0000-00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1" authorId="0" shapeId="0" xr:uid="{00000000-0006-0000-0000-00000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2" authorId="0" shapeId="0" xr:uid="{00000000-0006-0000-00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3" authorId="0" shapeId="0" xr:uid="{00000000-0006-0000-0000-00000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4" authorId="0" shapeId="0" xr:uid="{00000000-0006-0000-0000-00000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5" authorId="0" shapeId="0" xr:uid="{00000000-0006-0000-0000-000008000000}">
      <text>
        <r>
          <rPr>
            <sz val="8"/>
            <color indexed="81"/>
            <rFont val="Tahoma"/>
            <family val="2"/>
          </rPr>
          <t>Variable cell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Ragsdale</author>
  </authors>
  <commentList>
    <comment ref="F18" authorId="0" shapeId="0" xr:uid="{00000000-0006-0000-01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F19" authorId="0" shapeId="0" xr:uid="{00000000-0006-0000-01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F20" authorId="0" shapeId="0" xr:uid="{00000000-0006-0000-01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F21" authorId="0" shapeId="0" xr:uid="{00000000-0006-0000-0100-00000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F22" authorId="0" shapeId="0" xr:uid="{00000000-0006-0000-01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F23" authorId="0" shapeId="0" xr:uid="{00000000-0006-0000-0100-00000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F24" authorId="0" shapeId="0" xr:uid="{00000000-0006-0000-0100-00000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F25" authorId="0" shapeId="0" xr:uid="{00000000-0006-0000-0100-000008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27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Objective cell</t>
        </r>
      </text>
    </comment>
  </commentList>
</comments>
</file>

<file path=xl/sharedStrings.xml><?xml version="1.0" encoding="utf-8"?>
<sst xmlns="http://schemas.openxmlformats.org/spreadsheetml/2006/main" count="6" uniqueCount="5">
  <si>
    <t>From</t>
  </si>
  <si>
    <t>To</t>
  </si>
  <si>
    <t>From\To</t>
  </si>
  <si>
    <t>Distance</t>
  </si>
  <si>
    <t xml:space="preserve">Tour Length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</si>
</sst>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b/>
      <sz val="10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2" fontId="0" fillId="0" borderId="0" xfId="0" applyNumberFormat="1"/>
    <xf numFmtId="2" fontId="1" fillId="0" borderId="0" xfId="0" applyNumberFormat="1" applyFont="1" applyFill="1" applyBorder="1" applyAlignment="1">
      <alignment horizontal="center"/>
    </xf>
    <xf numFmtId="2" fontId="1" fillId="0" borderId="1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1" fillId="0" borderId="4" xfId="0" applyFont="1" applyBorder="1" applyAlignment="1">
      <alignment horizontal="right"/>
    </xf>
    <xf numFmtId="2" fontId="3" fillId="2" borderId="5" xfId="0" applyNumberFormat="1" applyFont="1" applyFill="1" applyBorder="1" applyAlignment="1">
      <alignment horizontal="center"/>
    </xf>
    <xf numFmtId="1" fontId="0" fillId="0" borderId="0" xfId="0" applyNumberFormat="1"/>
    <xf numFmtId="0" fontId="1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DDDDD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114300</xdr:rowOff>
    </xdr:from>
    <xdr:to>
      <xdr:col>8</xdr:col>
      <xdr:colOff>180975</xdr:colOff>
      <xdr:row>2</xdr:row>
      <xdr:rowOff>76200</xdr:rowOff>
    </xdr:to>
    <xdr:sp macro="[0]!Toggle" textlink="">
      <xdr:nvSpPr>
        <xdr:cNvPr id="7170" name="AutoShape 2">
          <a:extLst>
            <a:ext uri="{FF2B5EF4-FFF2-40B4-BE49-F238E27FC236}">
              <a16:creationId xmlns:a16="http://schemas.microsoft.com/office/drawing/2014/main" id="{00000000-0008-0000-0100-0000021C0000}"/>
            </a:ext>
          </a:extLst>
        </xdr:cNvPr>
        <xdr:cNvSpPr>
          <a:spLocks noChangeArrowheads="1"/>
        </xdr:cNvSpPr>
      </xdr:nvSpPr>
      <xdr:spPr bwMode="auto">
        <a:xfrm>
          <a:off x="2019300" y="114300"/>
          <a:ext cx="2847975" cy="2857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71842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Wolverine Manufacturing</a:t>
          </a:r>
        </a:p>
      </xdr:txBody>
    </xdr:sp>
    <xdr:clientData/>
  </xdr:twoCellAnchor>
  <xdr:twoCellAnchor>
    <xdr:from>
      <xdr:col>7</xdr:col>
      <xdr:colOff>447675</xdr:colOff>
      <xdr:row>16</xdr:row>
      <xdr:rowOff>123825</xdr:rowOff>
    </xdr:from>
    <xdr:to>
      <xdr:col>13</xdr:col>
      <xdr:colOff>76200</xdr:colOff>
      <xdr:row>19</xdr:row>
      <xdr:rowOff>133350</xdr:rowOff>
    </xdr:to>
    <xdr:sp macro="" textlink="">
      <xdr:nvSpPr>
        <xdr:cNvPr id="7180" name="Note" hidden="1">
          <a:extLst>
            <a:ext uri="{FF2B5EF4-FFF2-40B4-BE49-F238E27FC236}">
              <a16:creationId xmlns:a16="http://schemas.microsoft.com/office/drawing/2014/main" id="{00000000-0008-0000-0100-00000C1C0000}"/>
            </a:ext>
          </a:extLst>
        </xdr:cNvPr>
        <xdr:cNvSpPr txBox="1">
          <a:spLocks noChangeArrowheads="1"/>
        </xdr:cNvSpPr>
      </xdr:nvSpPr>
      <xdr:spPr bwMode="auto">
        <a:xfrm>
          <a:off x="4562475" y="2733675"/>
          <a:ext cx="3133725" cy="504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1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Minimize:    G27</a:t>
          </a:r>
        </a:p>
        <a:p>
          <a:pPr algn="l" rtl="0">
            <a:lnSpc>
              <a:spcPts val="11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E18:E26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E18:E26 alldifferent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8:B15"/>
  <sheetViews>
    <sheetView workbookViewId="0">
      <selection activeCell="C14" sqref="C14"/>
    </sheetView>
  </sheetViews>
  <sheetFormatPr defaultRowHeight="12.75" x14ac:dyDescent="0.2"/>
  <sheetData>
    <row r="8" spans="2:2" x14ac:dyDescent="0.2">
      <c r="B8" s="6">
        <v>2</v>
      </c>
    </row>
    <row r="9" spans="2:2" x14ac:dyDescent="0.2">
      <c r="B9" s="6">
        <v>7</v>
      </c>
    </row>
    <row r="10" spans="2:2" x14ac:dyDescent="0.2">
      <c r="B10" s="6">
        <v>4</v>
      </c>
    </row>
    <row r="11" spans="2:2" x14ac:dyDescent="0.2">
      <c r="B11" s="6">
        <v>6</v>
      </c>
    </row>
    <row r="12" spans="2:2" x14ac:dyDescent="0.2">
      <c r="B12" s="6">
        <v>3</v>
      </c>
    </row>
    <row r="13" spans="2:2" x14ac:dyDescent="0.2">
      <c r="B13" s="6">
        <v>9</v>
      </c>
    </row>
    <row r="14" spans="2:2" x14ac:dyDescent="0.2">
      <c r="B14" s="6">
        <v>8</v>
      </c>
    </row>
    <row r="15" spans="2:2" x14ac:dyDescent="0.2">
      <c r="B15" s="6">
        <v>5</v>
      </c>
    </row>
  </sheetData>
  <phoneticPr fontId="6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3:M38"/>
  <sheetViews>
    <sheetView tabSelected="1" zoomScaleNormal="100" workbookViewId="0">
      <selection activeCell="F26" sqref="F26"/>
    </sheetView>
  </sheetViews>
  <sheetFormatPr defaultRowHeight="12.75" x14ac:dyDescent="0.2"/>
  <cols>
    <col min="1" max="1" width="7.5703125" customWidth="1"/>
    <col min="2" max="2" width="9.5703125" style="1" customWidth="1"/>
    <col min="3" max="5" width="8.5703125" customWidth="1"/>
    <col min="6" max="6" width="8.7109375" customWidth="1"/>
    <col min="7" max="11" width="8.5703125" customWidth="1"/>
  </cols>
  <sheetData>
    <row r="3" spans="2:11" x14ac:dyDescent="0.2">
      <c r="B3" s="11"/>
    </row>
    <row r="4" spans="2:11" x14ac:dyDescent="0.2">
      <c r="B4" s="17" t="s">
        <v>3</v>
      </c>
    </row>
    <row r="5" spans="2:11" ht="13.5" thickBot="1" x14ac:dyDescent="0.25">
      <c r="B5" s="18" t="s">
        <v>2</v>
      </c>
      <c r="C5" s="5">
        <v>0</v>
      </c>
      <c r="D5" s="5">
        <v>1</v>
      </c>
      <c r="E5" s="5">
        <v>2</v>
      </c>
      <c r="F5" s="5">
        <v>3</v>
      </c>
      <c r="G5" s="5">
        <v>4</v>
      </c>
      <c r="H5" s="5">
        <v>5</v>
      </c>
      <c r="I5" s="5">
        <v>6</v>
      </c>
      <c r="J5" s="5">
        <v>7</v>
      </c>
      <c r="K5" s="5">
        <v>8</v>
      </c>
    </row>
    <row r="6" spans="2:11" x14ac:dyDescent="0.2">
      <c r="B6" s="2">
        <v>0</v>
      </c>
      <c r="C6" s="8">
        <v>0</v>
      </c>
      <c r="D6" s="8">
        <v>5.83</v>
      </c>
      <c r="E6" s="8">
        <v>12.04</v>
      </c>
      <c r="F6" s="8">
        <v>11.7</v>
      </c>
      <c r="G6" s="8">
        <v>9.43</v>
      </c>
      <c r="H6" s="8">
        <v>10.82</v>
      </c>
      <c r="I6" s="8">
        <v>7.62</v>
      </c>
      <c r="J6" s="8">
        <v>13</v>
      </c>
      <c r="K6" s="8">
        <v>19.100000000000001</v>
      </c>
    </row>
    <row r="7" spans="2:11" x14ac:dyDescent="0.2">
      <c r="B7" s="2">
        <v>1</v>
      </c>
      <c r="C7" s="8">
        <v>5.83</v>
      </c>
      <c r="D7" s="8">
        <v>0</v>
      </c>
      <c r="E7" s="8">
        <v>6.4</v>
      </c>
      <c r="F7" s="8">
        <v>8.06</v>
      </c>
      <c r="G7" s="8">
        <v>3.61</v>
      </c>
      <c r="H7" s="8">
        <v>6.08</v>
      </c>
      <c r="I7" s="8">
        <v>4.47</v>
      </c>
      <c r="J7" s="8">
        <v>7.28</v>
      </c>
      <c r="K7" s="8">
        <v>13.45</v>
      </c>
    </row>
    <row r="8" spans="2:11" x14ac:dyDescent="0.2">
      <c r="B8" s="2">
        <v>2</v>
      </c>
      <c r="C8" s="8">
        <v>12.04</v>
      </c>
      <c r="D8" s="8">
        <v>6.4</v>
      </c>
      <c r="E8" s="8">
        <v>0</v>
      </c>
      <c r="F8" s="8">
        <v>5.83</v>
      </c>
      <c r="G8" s="8">
        <v>3.16</v>
      </c>
      <c r="H8" s="8">
        <v>3.16</v>
      </c>
      <c r="I8" s="8">
        <v>6.08</v>
      </c>
      <c r="J8" s="8">
        <v>4.24</v>
      </c>
      <c r="K8" s="8">
        <v>7.07</v>
      </c>
    </row>
    <row r="9" spans="2:11" x14ac:dyDescent="0.2">
      <c r="B9" s="2">
        <v>3</v>
      </c>
      <c r="C9" s="8">
        <v>11.7</v>
      </c>
      <c r="D9" s="8">
        <v>8.06</v>
      </c>
      <c r="E9" s="8">
        <v>5.83</v>
      </c>
      <c r="F9" s="8">
        <v>0</v>
      </c>
      <c r="G9" s="8">
        <v>7.21</v>
      </c>
      <c r="H9" s="8">
        <v>2.83</v>
      </c>
      <c r="I9" s="8">
        <v>4.12</v>
      </c>
      <c r="J9" s="8">
        <v>10</v>
      </c>
      <c r="K9" s="8">
        <v>10.199999999999999</v>
      </c>
    </row>
    <row r="10" spans="2:11" x14ac:dyDescent="0.2">
      <c r="B10" s="2">
        <v>4</v>
      </c>
      <c r="C10" s="8">
        <v>9.43</v>
      </c>
      <c r="D10" s="8">
        <v>3.61</v>
      </c>
      <c r="E10" s="8">
        <v>3.16</v>
      </c>
      <c r="F10" s="8">
        <v>7.21</v>
      </c>
      <c r="G10" s="8">
        <v>0</v>
      </c>
      <c r="H10" s="8">
        <v>4.47</v>
      </c>
      <c r="I10" s="8">
        <v>5.39</v>
      </c>
      <c r="J10" s="8">
        <v>4</v>
      </c>
      <c r="K10" s="8">
        <v>10</v>
      </c>
    </row>
    <row r="11" spans="2:11" x14ac:dyDescent="0.2">
      <c r="B11" s="2">
        <v>5</v>
      </c>
      <c r="C11" s="8">
        <v>10.82</v>
      </c>
      <c r="D11" s="8">
        <v>6.08</v>
      </c>
      <c r="E11" s="8">
        <v>3.16</v>
      </c>
      <c r="F11" s="8">
        <v>2.83</v>
      </c>
      <c r="G11" s="8">
        <v>4.47</v>
      </c>
      <c r="H11" s="8">
        <v>0</v>
      </c>
      <c r="I11" s="8">
        <v>3.61</v>
      </c>
      <c r="J11" s="8">
        <v>7.21</v>
      </c>
      <c r="K11" s="8">
        <v>8.94</v>
      </c>
    </row>
    <row r="12" spans="2:11" x14ac:dyDescent="0.2">
      <c r="B12" s="2">
        <v>6</v>
      </c>
      <c r="C12" s="8">
        <v>7.62</v>
      </c>
      <c r="D12" s="8">
        <v>4.47</v>
      </c>
      <c r="E12" s="8">
        <v>6.08</v>
      </c>
      <c r="F12" s="8">
        <v>4.12</v>
      </c>
      <c r="G12" s="8">
        <v>5.39</v>
      </c>
      <c r="H12" s="8">
        <v>3.61</v>
      </c>
      <c r="I12" s="8">
        <v>0</v>
      </c>
      <c r="J12" s="8">
        <v>9.2200000000000006</v>
      </c>
      <c r="K12" s="8">
        <v>12.53</v>
      </c>
    </row>
    <row r="13" spans="2:11" x14ac:dyDescent="0.2">
      <c r="B13" s="2">
        <v>7</v>
      </c>
      <c r="C13" s="8">
        <v>13</v>
      </c>
      <c r="D13" s="8">
        <v>7.28</v>
      </c>
      <c r="E13" s="8">
        <v>4.24</v>
      </c>
      <c r="F13" s="8">
        <v>10</v>
      </c>
      <c r="G13" s="8">
        <v>4</v>
      </c>
      <c r="H13" s="8">
        <v>7.21</v>
      </c>
      <c r="I13" s="8">
        <v>9.2200000000000006</v>
      </c>
      <c r="J13" s="8">
        <v>0</v>
      </c>
      <c r="K13" s="8">
        <v>8.25</v>
      </c>
    </row>
    <row r="14" spans="2:11" ht="13.5" thickBot="1" x14ac:dyDescent="0.25">
      <c r="B14" s="5">
        <v>8</v>
      </c>
      <c r="C14" s="9">
        <v>19.100000000000001</v>
      </c>
      <c r="D14" s="9">
        <v>13.45</v>
      </c>
      <c r="E14" s="9">
        <v>7.07</v>
      </c>
      <c r="F14" s="9">
        <v>10.199999999999999</v>
      </c>
      <c r="G14" s="9">
        <v>10</v>
      </c>
      <c r="H14" s="9">
        <v>8.94</v>
      </c>
      <c r="I14" s="9">
        <v>12.53</v>
      </c>
      <c r="J14" s="9">
        <v>8.25</v>
      </c>
      <c r="K14" s="9">
        <v>0</v>
      </c>
    </row>
    <row r="15" spans="2:11" x14ac:dyDescent="0.2">
      <c r="B15" s="10"/>
      <c r="C15" s="8"/>
      <c r="D15" s="8"/>
      <c r="E15" s="8"/>
      <c r="F15" s="8"/>
      <c r="G15" s="8"/>
      <c r="H15" s="8"/>
      <c r="I15" s="8"/>
      <c r="J15" s="8"/>
      <c r="K15" s="8"/>
    </row>
    <row r="16" spans="2:11" x14ac:dyDescent="0.2">
      <c r="B16" s="10"/>
      <c r="C16" s="8"/>
      <c r="D16" s="8"/>
      <c r="E16" s="8"/>
      <c r="F16" s="8"/>
      <c r="G16" s="8"/>
      <c r="K16" s="8"/>
    </row>
    <row r="17" spans="2:13" ht="13.5" thickBot="1" x14ac:dyDescent="0.25">
      <c r="E17" s="4" t="s">
        <v>0</v>
      </c>
      <c r="F17" s="4" t="s">
        <v>1</v>
      </c>
      <c r="G17" s="4" t="s">
        <v>3</v>
      </c>
      <c r="I17" s="7"/>
      <c r="J17" s="7"/>
    </row>
    <row r="18" spans="2:13" x14ac:dyDescent="0.2">
      <c r="B18" s="3"/>
      <c r="E18" s="10">
        <v>0</v>
      </c>
      <c r="F18" s="6">
        <v>1</v>
      </c>
      <c r="G18" s="12">
        <f>INDEX($C$6:$K$14,E18+1,F18+1)</f>
        <v>5.83</v>
      </c>
      <c r="I18" s="7"/>
      <c r="J18" s="7"/>
    </row>
    <row r="19" spans="2:13" x14ac:dyDescent="0.2">
      <c r="B19" s="3"/>
      <c r="E19" s="10">
        <f>F18</f>
        <v>1</v>
      </c>
      <c r="F19" s="6">
        <v>2</v>
      </c>
      <c r="G19" s="12">
        <f t="shared" ref="G19:G26" si="0">INDEX($C$6:$K$14,E19+1,F19+1)</f>
        <v>6.4</v>
      </c>
      <c r="I19" s="7"/>
      <c r="J19" s="7"/>
      <c r="M19" s="16"/>
    </row>
    <row r="20" spans="2:13" x14ac:dyDescent="0.2">
      <c r="B20" s="3"/>
      <c r="E20" s="10">
        <f t="shared" ref="E20:E26" si="1">F19</f>
        <v>2</v>
      </c>
      <c r="F20" s="6">
        <v>3</v>
      </c>
      <c r="G20" s="12">
        <f t="shared" si="0"/>
        <v>5.83</v>
      </c>
      <c r="I20" s="7"/>
    </row>
    <row r="21" spans="2:13" x14ac:dyDescent="0.2">
      <c r="B21" s="3"/>
      <c r="E21" s="10">
        <f t="shared" si="1"/>
        <v>3</v>
      </c>
      <c r="F21" s="6">
        <v>4</v>
      </c>
      <c r="G21" s="12">
        <f t="shared" si="0"/>
        <v>7.21</v>
      </c>
      <c r="I21" s="7"/>
      <c r="J21" s="7"/>
    </row>
    <row r="22" spans="2:13" x14ac:dyDescent="0.2">
      <c r="B22" s="3"/>
      <c r="E22" s="10">
        <f t="shared" si="1"/>
        <v>4</v>
      </c>
      <c r="F22" s="6">
        <v>5</v>
      </c>
      <c r="G22" s="12">
        <f t="shared" si="0"/>
        <v>4.47</v>
      </c>
      <c r="I22" s="7"/>
      <c r="J22" s="7"/>
    </row>
    <row r="23" spans="2:13" x14ac:dyDescent="0.2">
      <c r="B23" s="3"/>
      <c r="E23" s="10">
        <f t="shared" si="1"/>
        <v>5</v>
      </c>
      <c r="F23" s="6">
        <v>6</v>
      </c>
      <c r="G23" s="12">
        <f t="shared" si="0"/>
        <v>3.61</v>
      </c>
      <c r="I23" s="7"/>
      <c r="J23" s="7"/>
    </row>
    <row r="24" spans="2:13" x14ac:dyDescent="0.2">
      <c r="B24" s="3"/>
      <c r="E24" s="10">
        <f t="shared" si="1"/>
        <v>6</v>
      </c>
      <c r="F24" s="6">
        <v>7</v>
      </c>
      <c r="G24" s="12">
        <f t="shared" si="0"/>
        <v>9.2200000000000006</v>
      </c>
      <c r="J24" s="7"/>
    </row>
    <row r="25" spans="2:13" x14ac:dyDescent="0.2">
      <c r="B25" s="3"/>
      <c r="E25" s="10">
        <f t="shared" si="1"/>
        <v>7</v>
      </c>
      <c r="F25" s="6">
        <v>8</v>
      </c>
      <c r="G25" s="12">
        <f t="shared" si="0"/>
        <v>8.25</v>
      </c>
      <c r="J25" s="7"/>
    </row>
    <row r="26" spans="2:13" ht="13.5" thickBot="1" x14ac:dyDescent="0.25">
      <c r="B26" s="2"/>
      <c r="E26" s="10">
        <f t="shared" si="1"/>
        <v>8</v>
      </c>
      <c r="F26" s="10">
        <v>0</v>
      </c>
      <c r="G26" s="12">
        <f t="shared" si="0"/>
        <v>19.100000000000001</v>
      </c>
    </row>
    <row r="27" spans="2:13" ht="13.5" thickBot="1" x14ac:dyDescent="0.25">
      <c r="B27" s="2"/>
      <c r="E27" s="13"/>
      <c r="F27" s="14" t="s">
        <v>4</v>
      </c>
      <c r="G27" s="15">
        <f>SUM(G18:G26)</f>
        <v>69.92</v>
      </c>
    </row>
    <row r="28" spans="2:13" ht="13.5" thickTop="1" x14ac:dyDescent="0.2">
      <c r="F28" s="1"/>
    </row>
    <row r="30" spans="2:13" x14ac:dyDescent="0.2">
      <c r="C30" s="7"/>
      <c r="D30" s="7"/>
      <c r="E30" s="7"/>
      <c r="F30" s="7"/>
      <c r="G30" s="7"/>
      <c r="K30" s="7"/>
    </row>
    <row r="31" spans="2:13" x14ac:dyDescent="0.2">
      <c r="C31" s="7"/>
      <c r="D31" s="7"/>
      <c r="E31" s="7"/>
      <c r="F31" s="7"/>
      <c r="G31" s="7"/>
      <c r="K31" s="7"/>
    </row>
    <row r="32" spans="2:13" x14ac:dyDescent="0.2">
      <c r="C32" s="7"/>
      <c r="D32" s="7"/>
      <c r="E32" s="7"/>
      <c r="F32" s="7"/>
      <c r="G32" s="7"/>
      <c r="K32" s="7"/>
    </row>
    <row r="33" spans="3:11" x14ac:dyDescent="0.2">
      <c r="C33" s="7"/>
      <c r="D33" s="7"/>
      <c r="E33" s="7"/>
      <c r="F33" s="7"/>
      <c r="G33" s="7"/>
      <c r="K33" s="7"/>
    </row>
    <row r="34" spans="3:11" x14ac:dyDescent="0.2">
      <c r="C34" s="7"/>
      <c r="D34" s="7"/>
      <c r="E34" s="7"/>
      <c r="F34" s="7"/>
      <c r="G34" s="7"/>
      <c r="K34" s="7"/>
    </row>
    <row r="35" spans="3:11" x14ac:dyDescent="0.2">
      <c r="C35" s="7"/>
      <c r="D35" s="7"/>
      <c r="E35" s="7"/>
      <c r="F35" s="7"/>
      <c r="G35" s="7"/>
      <c r="K35" s="7"/>
    </row>
    <row r="36" spans="3:11" x14ac:dyDescent="0.2">
      <c r="C36" s="7"/>
      <c r="D36" s="7"/>
      <c r="E36" s="7"/>
      <c r="F36" s="7"/>
      <c r="G36" s="7"/>
      <c r="K36" s="7"/>
    </row>
    <row r="37" spans="3:11" x14ac:dyDescent="0.2">
      <c r="C37" s="7"/>
      <c r="D37" s="7"/>
      <c r="E37" s="7"/>
      <c r="F37" s="7"/>
      <c r="G37" s="7"/>
      <c r="K37" s="7"/>
    </row>
    <row r="38" spans="3:11" x14ac:dyDescent="0.2">
      <c r="C38" s="7"/>
      <c r="D38" s="7"/>
      <c r="E38" s="7"/>
      <c r="F38" s="7"/>
      <c r="G38" s="7"/>
      <c r="K38" s="7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Drill Bit Tour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Bardossy</cp:lastModifiedBy>
  <dcterms:created xsi:type="dcterms:W3CDTF">1999-09-18T00:09:10Z</dcterms:created>
  <dcterms:modified xsi:type="dcterms:W3CDTF">2021-11-08T00:53:34Z</dcterms:modified>
</cp:coreProperties>
</file>